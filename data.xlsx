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userfiles\luotingting\桌面\flu-dashboard\"/>
    </mc:Choice>
  </mc:AlternateContent>
  <bookViews>
    <workbookView windowWidth="24045" windowHeight="122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<sst xmlns="http://schemas.openxmlformats.org/spreadsheetml/2006/main" count="65" uniqueCount="25">
  <si>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region</t>
  </si>
  <si>
    <t>year</t>
  </si>
  <si>
    <t>week</t>
  </si>
  <si>
    <t>week_start</t>
  </si>
  <si>
    <t>week_end</t>
  </si>
  <si>
    <t>ILI</t>
  </si>
  <si>
    <t>成人ILI</t>
  </si>
  <si>
    <t>儿童ILI</t>
  </si>
  <si>
    <t>阳性率</t>
  </si>
  <si>
    <t>甲型H1N1</t>
  </si>
  <si>
    <t>甲型H3N2</t>
  </si>
  <si>
    <t>甲型未分型</t>
  </si>
  <si>
    <t>乙型Victoria</t>
  </si>
  <si>
    <t>乙型</t>
  </si>
  <si>
    <t>A_untyped</t>
  </si>
  <si>
    <t>总阳性数</t>
  </si>
  <si>
    <t>哨点医院报告病例总数</t>
  </si>
  <si>
    <t>平均病例数</t>
  </si>
  <si>
    <t>中国南方</t>
  </si>
  <si>
    <t>中国北方</t>
  </si>
  <si>
    <t>中国香港</t>
  </si>
  <si>
    <t>澳门</t>
  </si>
  <si>
    <t>台湾</t>
  </si>
  <si>
    <t>韩国</t>
  </si>
  <si>
    <t>日本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</si>
</sst>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25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Arial-BoldM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vertical="center" wrapText="1"/>
    </xf>
    <xf numFmtId="14" fontId="2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4" fillId="0" borderId="0" xfId="49" applyFont="1" applyAlignment="1">
      <alignment horizontal="center"/>
    </xf>
    <xf numFmtId="14" fontId="0" fillId="0" borderId="0" xfId="49" applyNumberFormat="1" applyAlignment="1">
      <alignment horizontal="center"/>
    </xf>
    <xf numFmtId="177" fontId="3" fillId="0" borderId="0" xfId="0" applyNumberFormat="1" applyFont="1" applyFill="1" applyAlignment="1"/>
    <xf numFmtId="10" fontId="3" fillId="0" borderId="0" xfId="0" applyNumberFormat="1" applyFont="1" applyFill="1" applyAlignment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Alignment="1"/>
    <xf numFmtId="0" fontId="2" fillId="0" borderId="0" xfId="0" applyNumberFormat="1" applyFont="1" applyFill="1" applyAlignment="1">
      <alignment horizontal="right"/>
    </xf>
    <xf numFmtId="14" fontId="2" fillId="0" borderId="0" xfId="0" applyNumberFormat="1" applyFont="1" applyFill="1" applyAlignment="1">
      <alignment horizontal="right"/>
    </xf>
    <xf numFmtId="0" fontId="3" fillId="0" borderId="1" xfId="0" applyNumberFormat="1" applyFont="1" applyFill="1" applyBorder="1" applyAlignment="1" applyProtection="1"/>
    <xf numFmtId="176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2" fillId="0" borderId="0" xfId="0" applyNumberFormat="1" applyFont="1" applyFill="1" applyAlignment="1"/>
    <xf numFmtId="14" fontId="2" fillId="0" borderId="0" xfId="0" applyNumberFormat="1" applyFont="1" applyFill="1" applyAlignment="1"/>
    <xf numFmtId="0" fontId="3" fillId="0" borderId="0" xfId="3" applyNumberFormat="1" applyFont="1" applyFill="1" applyBorder="1" applyAlignment="1" applyProtection="1"/>
    <xf numFmtId="176" fontId="5" fillId="0" borderId="0" xfId="0" applyNumberFormat="1" applyFont="1" applyFill="1" applyAlignment="1"/>
    <xf numFmtId="0" fontId="5" fillId="0" borderId="0" xfId="0" applyNumberFormat="1" applyFont="1" applyFill="1" applyBorder="1" applyAlignment="1" applyProtection="1"/>
    <xf numFmtId="14" fontId="3" fillId="0" borderId="1" xfId="0" applyNumberFormat="1" applyFont="1" applyFill="1" applyBorder="1" applyAlignment="1"/>
    <xf numFmtId="0" fontId="0" fillId="0" borderId="1" xfId="0" applyBorder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14" fontId="3" fillId="0" borderId="0" xfId="0" applyNumberFormat="1" applyFont="1" applyFill="1" applyAlignment="1"/>
    <xf numFmtId="0" fontId="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48"/>
  <sheetViews>
    <sheetView tabSelected="1" zoomScaleSheetLayoutView="60" workbookViewId="0">
      <selection activeCell="F9" sqref="F9"/>
    </sheetView>
  </sheetViews>
  <sheetFormatPr defaultColWidth="9" defaultRowHeight="13.5"/>
  <cols>
    <col min="4" max="4" width="13.375" customWidth="1"/>
    <col min="5" max="5" width="12" customWidth="1"/>
  </cols>
  <sheetData>
    <row r="1" ht="40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.5" spans="1:18">
      <c r="A2" s="2" t="s">
        <v>18</v>
      </c>
      <c r="B2" s="2">
        <v>2026</v>
      </c>
      <c r="C2" s="2">
        <v>35</v>
      </c>
      <c r="D2" s="3">
        <v>46258</v>
      </c>
      <c r="E2" s="3">
        <v>46264</v>
      </c>
      <c r="F2" s="4">
        <v>0.043</v>
      </c>
      <c r="G2" s="2"/>
      <c r="H2" s="2"/>
      <c r="I2" s="4">
        <v>0.208</v>
      </c>
      <c r="J2" s="2">
        <v>62</v>
      </c>
      <c r="K2" s="2">
        <v>1359</v>
      </c>
      <c r="L2" s="2"/>
      <c r="M2" s="2">
        <v>816</v>
      </c>
      <c r="N2" s="2"/>
      <c r="O2" s="2"/>
      <c r="P2" s="2">
        <v>2237</v>
      </c>
      <c r="Q2" s="2"/>
      <c r="R2" s="2"/>
    </row>
    <row r="3" ht="16.5" spans="1:18">
      <c r="A3" s="2" t="s">
        <v>18</v>
      </c>
      <c r="B3" s="2">
        <v>2026</v>
      </c>
      <c r="C3" s="2">
        <v>36</v>
      </c>
      <c r="D3" s="3">
        <v>46265</v>
      </c>
      <c r="E3" s="3">
        <v>46271</v>
      </c>
      <c r="F3" s="4">
        <v>0.046</v>
      </c>
      <c r="G3" s="2"/>
      <c r="H3" s="2"/>
      <c r="I3" s="4">
        <v>0.225</v>
      </c>
      <c r="J3" s="2">
        <v>66</v>
      </c>
      <c r="K3" s="2">
        <v>1566</v>
      </c>
      <c r="L3" s="2"/>
      <c r="M3" s="2">
        <v>795</v>
      </c>
      <c r="N3" s="2"/>
      <c r="O3" s="2"/>
      <c r="P3" s="2">
        <v>2427</v>
      </c>
      <c r="Q3" s="2"/>
      <c r="R3" s="2"/>
    </row>
    <row r="4" ht="16.5" spans="1:18">
      <c r="A4" s="2" t="s">
        <v>18</v>
      </c>
      <c r="B4" s="2">
        <v>2026</v>
      </c>
      <c r="C4" s="2">
        <v>37</v>
      </c>
      <c r="D4" s="3">
        <v>46272</v>
      </c>
      <c r="E4" s="3">
        <v>46278</v>
      </c>
      <c r="F4" s="4">
        <v>0.051</v>
      </c>
      <c r="G4" s="2"/>
      <c r="H4" s="2"/>
      <c r="I4" s="4">
        <v>0.249</v>
      </c>
      <c r="J4" s="2">
        <v>100</v>
      </c>
      <c r="K4" s="2">
        <v>1762</v>
      </c>
      <c r="L4" s="2"/>
      <c r="M4" s="2">
        <v>797</v>
      </c>
      <c r="N4" s="2"/>
      <c r="O4" s="2"/>
      <c r="P4" s="2">
        <v>2659</v>
      </c>
      <c r="Q4" s="2"/>
      <c r="R4" s="2"/>
    </row>
    <row r="5" ht="16.5" spans="1:18">
      <c r="A5" s="2" t="s">
        <v>18</v>
      </c>
      <c r="B5" s="2">
        <v>2026</v>
      </c>
      <c r="C5" s="2">
        <v>38</v>
      </c>
      <c r="D5" s="3">
        <v>46279</v>
      </c>
      <c r="E5" s="3">
        <v>46285</v>
      </c>
      <c r="F5" s="4">
        <v>0.05</v>
      </c>
      <c r="G5" s="2"/>
      <c r="H5" s="2"/>
      <c r="I5" s="4">
        <v>0.22</v>
      </c>
      <c r="J5" s="2">
        <v>93</v>
      </c>
      <c r="K5" s="2">
        <v>1481</v>
      </c>
      <c r="L5" s="2"/>
      <c r="M5" s="2">
        <v>885</v>
      </c>
      <c r="N5" s="2"/>
      <c r="O5" s="2"/>
      <c r="P5" s="2">
        <v>2459</v>
      </c>
      <c r="Q5" s="2"/>
      <c r="R5" s="2"/>
    </row>
    <row r="6" ht="16.5" spans="1:18">
      <c r="A6" s="2" t="s">
        <v>18</v>
      </c>
      <c r="B6" s="2">
        <v>2026</v>
      </c>
      <c r="C6" s="2">
        <v>39</v>
      </c>
      <c r="D6" s="3">
        <v>46286</v>
      </c>
      <c r="E6" s="3">
        <v>46292</v>
      </c>
      <c r="F6" s="4">
        <v>0.053</v>
      </c>
      <c r="G6" s="2"/>
      <c r="H6" s="2"/>
      <c r="I6" s="4">
        <v>0.188</v>
      </c>
      <c r="J6" s="2">
        <v>105</v>
      </c>
      <c r="K6" s="2">
        <v>1117</v>
      </c>
      <c r="L6" s="2"/>
      <c r="M6" s="2">
        <v>755</v>
      </c>
      <c r="N6" s="2"/>
      <c r="O6" s="2"/>
      <c r="P6" s="2">
        <v>1977</v>
      </c>
      <c r="Q6" s="2"/>
      <c r="R6" s="2"/>
    </row>
    <row r="7" ht="16.5" spans="1:18">
      <c r="A7" s="2" t="s">
        <v>18</v>
      </c>
      <c r="B7" s="2">
        <v>2026</v>
      </c>
      <c r="C7" s="2">
        <v>40</v>
      </c>
      <c r="D7" s="3">
        <v>46293</v>
      </c>
      <c r="E7" s="3">
        <v>46299</v>
      </c>
      <c r="F7" s="4">
        <v>0.048</v>
      </c>
      <c r="G7" s="2"/>
      <c r="H7" s="2"/>
      <c r="I7" s="4">
        <v>0.189</v>
      </c>
      <c r="J7" s="2">
        <v>134</v>
      </c>
      <c r="K7" s="2">
        <v>1038</v>
      </c>
      <c r="L7" s="2"/>
      <c r="M7" s="2">
        <v>705</v>
      </c>
      <c r="N7" s="2"/>
      <c r="O7" s="2"/>
      <c r="P7" s="2">
        <v>1877</v>
      </c>
      <c r="Q7" s="2"/>
      <c r="R7" s="2"/>
    </row>
    <row r="8" ht="16.5" spans="1:18">
      <c r="A8" s="2" t="s">
        <v>18</v>
      </c>
      <c r="B8" s="2">
        <v>2026</v>
      </c>
      <c r="C8" s="2">
        <v>41</v>
      </c>
      <c r="D8" s="5">
        <v>46300</v>
      </c>
      <c r="E8" s="6">
        <v>46306</v>
      </c>
      <c r="F8" s="7">
        <v>0.046</v>
      </c>
      <c r="I8" s="7">
        <v>0.194</v>
      </c>
      <c r="J8" s="8">
        <v>185</v>
      </c>
      <c r="K8" s="8">
        <v>1192</v>
      </c>
      <c r="M8" s="8">
        <v>677</v>
      </c>
      <c r="O8" s="2"/>
      <c r="P8" s="9">
        <f>SUM(J8:M8)</f>
        <v>2054</v>
      </c>
      <c r="Q8" s="2"/>
      <c r="R8" s="2"/>
    </row>
    <row r="9" ht="16.5" spans="1:18">
      <c r="A9" s="2" t="s">
        <v>19</v>
      </c>
      <c r="B9" s="2">
        <v>2026</v>
      </c>
      <c r="C9" s="2">
        <v>35</v>
      </c>
      <c r="D9" s="3">
        <v>46258</v>
      </c>
      <c r="E9" s="3">
        <v>46264</v>
      </c>
      <c r="F9" s="4">
        <v>0.027</v>
      </c>
      <c r="G9" s="2"/>
      <c r="H9" s="2"/>
      <c r="I9" s="4">
        <v>0.019</v>
      </c>
      <c r="J9" s="2">
        <v>7</v>
      </c>
      <c r="K9" s="2">
        <v>33</v>
      </c>
      <c r="L9" s="2"/>
      <c r="M9" s="2">
        <v>20</v>
      </c>
      <c r="N9" s="2"/>
      <c r="O9" s="2"/>
      <c r="P9" s="2">
        <v>60</v>
      </c>
      <c r="Q9" s="2"/>
      <c r="R9" s="2"/>
    </row>
    <row r="10" ht="16.5" spans="1:18">
      <c r="A10" s="2" t="s">
        <v>19</v>
      </c>
      <c r="B10" s="2">
        <v>2026</v>
      </c>
      <c r="C10" s="2">
        <v>36</v>
      </c>
      <c r="D10" s="3">
        <v>46265</v>
      </c>
      <c r="E10" s="3">
        <v>46271</v>
      </c>
      <c r="F10" s="4">
        <v>0.029</v>
      </c>
      <c r="G10" s="2"/>
      <c r="H10" s="2"/>
      <c r="I10" s="4">
        <v>0.022</v>
      </c>
      <c r="J10" s="2">
        <v>3</v>
      </c>
      <c r="K10" s="2">
        <v>38</v>
      </c>
      <c r="L10" s="2"/>
      <c r="M10" s="2">
        <v>25</v>
      </c>
      <c r="N10" s="2"/>
      <c r="O10" s="2"/>
      <c r="P10" s="2">
        <v>66</v>
      </c>
      <c r="Q10" s="2"/>
      <c r="R10" s="2"/>
    </row>
    <row r="11" ht="16.5" spans="1:18">
      <c r="A11" s="2" t="s">
        <v>19</v>
      </c>
      <c r="B11" s="2">
        <v>2026</v>
      </c>
      <c r="C11" s="2">
        <v>37</v>
      </c>
      <c r="D11" s="3">
        <v>46272</v>
      </c>
      <c r="E11" s="3">
        <v>46278</v>
      </c>
      <c r="F11" s="4">
        <v>0.031</v>
      </c>
      <c r="G11" s="2"/>
      <c r="H11" s="2"/>
      <c r="I11" s="4">
        <v>0.018</v>
      </c>
      <c r="J11" s="2">
        <v>4</v>
      </c>
      <c r="K11" s="2">
        <v>39</v>
      </c>
      <c r="L11" s="2"/>
      <c r="M11" s="2">
        <v>22</v>
      </c>
      <c r="N11" s="2"/>
      <c r="O11" s="2"/>
      <c r="P11" s="2">
        <v>65</v>
      </c>
      <c r="Q11" s="2"/>
      <c r="R11" s="2"/>
    </row>
    <row r="12" ht="16.5" spans="1:18">
      <c r="A12" s="2" t="s">
        <v>19</v>
      </c>
      <c r="B12" s="2">
        <v>2026</v>
      </c>
      <c r="C12" s="2">
        <v>38</v>
      </c>
      <c r="D12" s="3">
        <v>46279</v>
      </c>
      <c r="E12" s="3">
        <v>46285</v>
      </c>
      <c r="F12" s="4">
        <v>0.032</v>
      </c>
      <c r="G12" s="2"/>
      <c r="H12" s="2"/>
      <c r="I12" s="4">
        <v>0.022</v>
      </c>
      <c r="J12" s="2">
        <v>1</v>
      </c>
      <c r="K12" s="2">
        <v>43</v>
      </c>
      <c r="L12" s="2"/>
      <c r="M12" s="2">
        <v>23</v>
      </c>
      <c r="N12" s="2"/>
      <c r="O12" s="2"/>
      <c r="P12" s="2">
        <v>67</v>
      </c>
      <c r="Q12" s="2"/>
      <c r="R12" s="2"/>
    </row>
    <row r="13" ht="16.5" spans="1:18">
      <c r="A13" s="2" t="s">
        <v>19</v>
      </c>
      <c r="B13" s="2">
        <v>2026</v>
      </c>
      <c r="C13" s="2">
        <v>39</v>
      </c>
      <c r="D13" s="3">
        <v>46286</v>
      </c>
      <c r="E13" s="3">
        <v>46292</v>
      </c>
      <c r="F13" s="4">
        <v>0.033</v>
      </c>
      <c r="G13" s="2"/>
      <c r="H13" s="2"/>
      <c r="I13" s="4">
        <v>0.023</v>
      </c>
      <c r="J13" s="2">
        <v>15</v>
      </c>
      <c r="K13" s="2">
        <v>35</v>
      </c>
      <c r="L13" s="2"/>
      <c r="M13" s="2">
        <v>27</v>
      </c>
      <c r="N13" s="2"/>
      <c r="O13" s="2"/>
      <c r="P13" s="2">
        <v>77</v>
      </c>
      <c r="Q13" s="2"/>
      <c r="R13" s="2"/>
    </row>
    <row r="14" ht="16.5" spans="1:18">
      <c r="A14" s="2" t="s">
        <v>19</v>
      </c>
      <c r="B14" s="2">
        <v>2026</v>
      </c>
      <c r="C14" s="2">
        <v>40</v>
      </c>
      <c r="D14" s="3">
        <v>46293</v>
      </c>
      <c r="E14" s="3">
        <v>46299</v>
      </c>
      <c r="F14" s="4">
        <v>0.031</v>
      </c>
      <c r="G14" s="2"/>
      <c r="H14" s="2"/>
      <c r="I14" s="4">
        <v>0.022</v>
      </c>
      <c r="J14" s="2">
        <v>35</v>
      </c>
      <c r="K14" s="2">
        <v>86</v>
      </c>
      <c r="L14" s="2"/>
      <c r="M14" s="2">
        <v>49</v>
      </c>
      <c r="N14" s="2"/>
      <c r="O14" s="2"/>
      <c r="P14" s="2">
        <v>170</v>
      </c>
      <c r="Q14" s="2"/>
      <c r="R14" s="2"/>
    </row>
    <row r="15" ht="16.5" spans="1:18">
      <c r="A15" s="2" t="s">
        <v>19</v>
      </c>
      <c r="B15" s="2">
        <v>2026</v>
      </c>
      <c r="C15" s="2">
        <v>41</v>
      </c>
      <c r="D15" s="5">
        <v>46300</v>
      </c>
      <c r="E15" s="6">
        <v>46306</v>
      </c>
      <c r="F15" s="10">
        <v>0.03</v>
      </c>
      <c r="H15" s="2"/>
      <c r="I15" s="10">
        <v>0.031</v>
      </c>
      <c r="J15" s="11">
        <v>77</v>
      </c>
      <c r="K15" s="11">
        <v>136</v>
      </c>
      <c r="M15" s="11">
        <v>76</v>
      </c>
      <c r="O15" s="2"/>
      <c r="P15" s="9">
        <f>SUM(J15:M15)</f>
        <v>289</v>
      </c>
      <c r="Q15" s="2"/>
      <c r="R15" s="2"/>
    </row>
    <row r="16" ht="16.5" spans="1:18">
      <c r="A16" s="2" t="s">
        <v>20</v>
      </c>
      <c r="B16" s="2">
        <v>2026</v>
      </c>
      <c r="C16" s="2">
        <v>35</v>
      </c>
      <c r="D16" s="3">
        <v>46257</v>
      </c>
      <c r="E16" s="3">
        <v>46263</v>
      </c>
      <c r="F16" s="2">
        <v>1.24</v>
      </c>
      <c r="G16" s="2"/>
      <c r="H16" s="2"/>
      <c r="I16" s="4">
        <v>0.1117</v>
      </c>
      <c r="J16" s="2">
        <v>76</v>
      </c>
      <c r="K16" s="2">
        <v>19</v>
      </c>
      <c r="L16" s="2"/>
      <c r="M16" s="2"/>
      <c r="N16" s="2">
        <v>5</v>
      </c>
      <c r="O16" s="2"/>
      <c r="P16" s="2"/>
      <c r="Q16" s="2"/>
      <c r="R16" s="2"/>
    </row>
    <row r="17" ht="16.5" spans="1:18">
      <c r="A17" s="2" t="s">
        <v>20</v>
      </c>
      <c r="B17" s="2">
        <v>2026</v>
      </c>
      <c r="C17" s="2">
        <v>36</v>
      </c>
      <c r="D17" s="3">
        <v>46264</v>
      </c>
      <c r="E17" s="3">
        <v>46270</v>
      </c>
      <c r="F17" s="2">
        <v>0.9</v>
      </c>
      <c r="G17" s="2"/>
      <c r="H17" s="2"/>
      <c r="I17" s="4">
        <v>0.1305</v>
      </c>
      <c r="J17" s="2">
        <v>82</v>
      </c>
      <c r="K17" s="2">
        <v>14</v>
      </c>
      <c r="L17" s="2"/>
      <c r="M17" s="2"/>
      <c r="N17" s="2">
        <v>4</v>
      </c>
      <c r="O17" s="2"/>
      <c r="P17" s="2"/>
      <c r="Q17" s="2"/>
      <c r="R17" s="2"/>
    </row>
    <row r="18" ht="16.5" spans="1:18">
      <c r="A18" s="2" t="s">
        <v>20</v>
      </c>
      <c r="B18" s="2">
        <v>2026</v>
      </c>
      <c r="C18" s="2">
        <v>37</v>
      </c>
      <c r="D18" s="3">
        <v>46271</v>
      </c>
      <c r="E18" s="3">
        <v>46277</v>
      </c>
      <c r="F18" s="2">
        <v>0.87</v>
      </c>
      <c r="G18" s="2"/>
      <c r="H18" s="2"/>
      <c r="I18" s="4">
        <v>0.1266</v>
      </c>
      <c r="J18" s="2">
        <v>86</v>
      </c>
      <c r="K18" s="2">
        <v>9</v>
      </c>
      <c r="L18" s="2"/>
      <c r="M18" s="2"/>
      <c r="N18" s="2">
        <v>5</v>
      </c>
      <c r="O18" s="2"/>
      <c r="P18" s="2"/>
      <c r="Q18" s="2"/>
      <c r="R18" s="2"/>
    </row>
    <row r="19" ht="16.5" spans="1:18">
      <c r="A19" s="2" t="s">
        <v>20</v>
      </c>
      <c r="B19" s="2">
        <v>2026</v>
      </c>
      <c r="C19" s="2">
        <v>38</v>
      </c>
      <c r="D19" s="3">
        <v>46278</v>
      </c>
      <c r="E19" s="3">
        <v>46284</v>
      </c>
      <c r="F19" s="2">
        <v>0.76</v>
      </c>
      <c r="G19" s="2"/>
      <c r="H19" s="2"/>
      <c r="I19" s="4">
        <v>0.1065</v>
      </c>
      <c r="J19" s="2">
        <v>85</v>
      </c>
      <c r="K19" s="2">
        <v>8</v>
      </c>
      <c r="L19" s="2"/>
      <c r="M19" s="2"/>
      <c r="N19" s="2">
        <v>7</v>
      </c>
      <c r="O19" s="2"/>
      <c r="P19" s="2"/>
      <c r="Q19" s="2"/>
      <c r="R19" s="2"/>
    </row>
    <row r="20" ht="16.5" spans="1:18">
      <c r="A20" s="2" t="s">
        <v>20</v>
      </c>
      <c r="B20" s="2">
        <v>2026</v>
      </c>
      <c r="C20" s="2">
        <v>39</v>
      </c>
      <c r="D20" s="3">
        <v>46285</v>
      </c>
      <c r="E20" s="3">
        <v>46291</v>
      </c>
      <c r="F20" s="2">
        <v>1.06</v>
      </c>
      <c r="G20" s="2"/>
      <c r="H20" s="2"/>
      <c r="I20" s="4">
        <v>0.1153</v>
      </c>
      <c r="J20" s="2">
        <v>87</v>
      </c>
      <c r="K20" s="2">
        <v>7</v>
      </c>
      <c r="L20" s="2"/>
      <c r="M20" s="2"/>
      <c r="N20" s="2">
        <v>6</v>
      </c>
      <c r="O20" s="2"/>
      <c r="P20" s="2"/>
      <c r="Q20" s="2"/>
      <c r="R20" s="2"/>
    </row>
    <row r="21" ht="16.5" spans="1:18">
      <c r="A21" s="2" t="s">
        <v>20</v>
      </c>
      <c r="B21" s="2">
        <v>2026</v>
      </c>
      <c r="C21" s="2">
        <v>40</v>
      </c>
      <c r="D21" s="3">
        <v>46292</v>
      </c>
      <c r="E21" s="3">
        <v>46298</v>
      </c>
      <c r="F21" s="2">
        <v>0.98</v>
      </c>
      <c r="G21" s="2"/>
      <c r="H21" s="2"/>
      <c r="I21" s="4">
        <v>0.1161</v>
      </c>
      <c r="J21" s="2">
        <v>91</v>
      </c>
      <c r="K21" s="2">
        <v>3</v>
      </c>
      <c r="L21" s="2"/>
      <c r="M21" s="2"/>
      <c r="N21" s="2">
        <v>6</v>
      </c>
      <c r="O21" s="2"/>
      <c r="P21" s="2"/>
      <c r="Q21" s="2"/>
      <c r="R21" s="2"/>
    </row>
    <row r="22" ht="16.5" spans="1:18">
      <c r="A22" s="2" t="s">
        <v>20</v>
      </c>
      <c r="B22" s="2">
        <v>2026</v>
      </c>
      <c r="C22" s="12">
        <v>41</v>
      </c>
      <c r="D22" s="13">
        <v>46299</v>
      </c>
      <c r="E22" s="13">
        <v>46305</v>
      </c>
      <c r="F22" s="14">
        <v>1</v>
      </c>
      <c r="G22" s="2"/>
      <c r="H22" s="2"/>
      <c r="I22" s="15">
        <v>0.1147</v>
      </c>
      <c r="J22" s="16">
        <v>94</v>
      </c>
      <c r="K22" s="16">
        <v>3</v>
      </c>
      <c r="L22" s="2"/>
      <c r="M22" s="2"/>
      <c r="N22" s="16">
        <v>3</v>
      </c>
      <c r="O22" s="2"/>
      <c r="P22" s="2"/>
      <c r="Q22" s="2"/>
      <c r="R22" s="2"/>
    </row>
    <row r="23" ht="16.5" spans="1:18">
      <c r="A23" s="2" t="s">
        <v>21</v>
      </c>
      <c r="B23" s="2">
        <v>2026</v>
      </c>
      <c r="C23" s="2">
        <v>35</v>
      </c>
      <c r="D23" s="3">
        <v>46263</v>
      </c>
      <c r="E23" s="2"/>
      <c r="F23" s="2"/>
      <c r="G23" s="2">
        <v>6.8</v>
      </c>
      <c r="H23" s="2">
        <v>22.5</v>
      </c>
      <c r="I23" s="4">
        <v>0.131</v>
      </c>
      <c r="J23" s="2">
        <v>25</v>
      </c>
      <c r="K23" s="2">
        <v>37.4</v>
      </c>
      <c r="L23" s="2">
        <v>18.8</v>
      </c>
      <c r="M23" s="2"/>
      <c r="N23" s="2">
        <v>18.8</v>
      </c>
      <c r="O23" s="2"/>
      <c r="P23" s="2"/>
      <c r="Q23" s="2"/>
      <c r="R23" s="2"/>
    </row>
    <row r="24" ht="16.5" spans="1:18">
      <c r="A24" s="2" t="s">
        <v>21</v>
      </c>
      <c r="B24" s="2">
        <v>2026</v>
      </c>
      <c r="C24" s="2">
        <v>36</v>
      </c>
      <c r="D24" s="3">
        <v>46270</v>
      </c>
      <c r="E24" s="2"/>
      <c r="F24" s="2"/>
      <c r="G24" s="2">
        <v>6.8</v>
      </c>
      <c r="H24" s="2">
        <v>23.8</v>
      </c>
      <c r="I24" s="4">
        <v>0.15</v>
      </c>
      <c r="J24" s="2">
        <v>47.1</v>
      </c>
      <c r="K24" s="2">
        <v>5.9</v>
      </c>
      <c r="L24" s="2">
        <v>17.6</v>
      </c>
      <c r="M24" s="2"/>
      <c r="N24" s="2">
        <v>29.4</v>
      </c>
      <c r="O24" s="2"/>
      <c r="P24" s="2"/>
      <c r="Q24" s="2"/>
      <c r="R24" s="2"/>
    </row>
    <row r="25" ht="16.5" spans="1:18">
      <c r="A25" s="2" t="s">
        <v>21</v>
      </c>
      <c r="B25" s="2">
        <v>2026</v>
      </c>
      <c r="C25" s="2">
        <v>37</v>
      </c>
      <c r="D25" s="3">
        <v>46277</v>
      </c>
      <c r="E25" s="2"/>
      <c r="F25" s="2"/>
      <c r="G25" s="2">
        <v>8.4</v>
      </c>
      <c r="H25" s="2">
        <v>28</v>
      </c>
      <c r="I25" s="4">
        <v>0.214</v>
      </c>
      <c r="J25" s="2">
        <v>37.1</v>
      </c>
      <c r="K25" s="2">
        <v>18.5</v>
      </c>
      <c r="L25" s="2">
        <v>22.2</v>
      </c>
      <c r="M25" s="2"/>
      <c r="N25" s="2">
        <v>22.2</v>
      </c>
      <c r="O25" s="2"/>
      <c r="P25" s="2"/>
      <c r="Q25" s="2"/>
      <c r="R25" s="2"/>
    </row>
    <row r="26" ht="16.5" spans="1:18">
      <c r="A26" s="2" t="s">
        <v>21</v>
      </c>
      <c r="B26" s="2">
        <v>2026</v>
      </c>
      <c r="C26" s="2">
        <v>38</v>
      </c>
      <c r="D26" s="3">
        <v>46284</v>
      </c>
      <c r="E26" s="2"/>
      <c r="F26" s="2"/>
      <c r="G26" s="2">
        <v>8.2</v>
      </c>
      <c r="H26" s="2">
        <v>25.4</v>
      </c>
      <c r="I26" s="4">
        <v>0.235</v>
      </c>
      <c r="J26" s="2">
        <v>57.1</v>
      </c>
      <c r="K26" s="2">
        <v>17.9</v>
      </c>
      <c r="L26" s="2">
        <v>10.7</v>
      </c>
      <c r="M26" s="2"/>
      <c r="N26" s="2">
        <v>14.3</v>
      </c>
      <c r="O26" s="2"/>
      <c r="P26" s="2"/>
      <c r="Q26" s="2"/>
      <c r="R26" s="2"/>
    </row>
    <row r="27" ht="16.5" spans="1:18">
      <c r="A27" s="2" t="s">
        <v>21</v>
      </c>
      <c r="B27" s="2">
        <v>2026</v>
      </c>
      <c r="C27" s="2">
        <v>39</v>
      </c>
      <c r="D27" s="3">
        <v>46291</v>
      </c>
      <c r="E27" s="2"/>
      <c r="F27" s="2"/>
      <c r="G27" s="2">
        <v>9.4</v>
      </c>
      <c r="H27" s="2">
        <v>27.7</v>
      </c>
      <c r="I27" s="4">
        <v>0.258</v>
      </c>
      <c r="J27" s="2">
        <v>57.6</v>
      </c>
      <c r="K27" s="2">
        <v>3</v>
      </c>
      <c r="L27" s="2">
        <v>15.2</v>
      </c>
      <c r="M27" s="2"/>
      <c r="N27" s="2">
        <v>24.2</v>
      </c>
      <c r="O27" s="2"/>
      <c r="P27" s="2"/>
      <c r="Q27" s="2"/>
      <c r="R27" s="2"/>
    </row>
    <row r="28" ht="16.5" spans="1:18">
      <c r="A28" s="2" t="s">
        <v>21</v>
      </c>
      <c r="B28" s="2">
        <v>2026</v>
      </c>
      <c r="C28" s="2">
        <v>40</v>
      </c>
      <c r="D28" s="3">
        <v>46298</v>
      </c>
      <c r="E28" s="2"/>
      <c r="F28" s="2"/>
      <c r="G28" s="2">
        <v>8.3</v>
      </c>
      <c r="H28" s="2">
        <v>27.9</v>
      </c>
      <c r="I28" s="4">
        <v>0.271</v>
      </c>
      <c r="J28" s="2">
        <v>76.9</v>
      </c>
      <c r="K28" s="2">
        <v>7.7</v>
      </c>
      <c r="L28" s="2">
        <v>15.4</v>
      </c>
      <c r="M28" s="2"/>
      <c r="N28" s="2">
        <v>0</v>
      </c>
      <c r="O28" s="2"/>
      <c r="P28" s="2"/>
      <c r="Q28" s="2"/>
      <c r="R28" s="2"/>
    </row>
    <row r="29" ht="16.5" spans="1:18">
      <c r="A29" s="2" t="s">
        <v>21</v>
      </c>
      <c r="B29" s="17">
        <v>2027</v>
      </c>
      <c r="C29" s="18">
        <v>41</v>
      </c>
      <c r="D29" s="19">
        <v>46305</v>
      </c>
      <c r="E29" s="2"/>
      <c r="F29" s="2"/>
      <c r="G29" s="8">
        <v>7.4</v>
      </c>
      <c r="H29" s="8">
        <v>27.1</v>
      </c>
      <c r="I29" s="10">
        <v>0.13</v>
      </c>
      <c r="J29" s="16">
        <v>73.3</v>
      </c>
      <c r="K29" s="16">
        <v>6.7</v>
      </c>
      <c r="L29" s="16">
        <v>6.7</v>
      </c>
      <c r="M29" s="2"/>
      <c r="N29" s="16">
        <v>13.3</v>
      </c>
      <c r="O29" s="2"/>
      <c r="P29" s="2"/>
      <c r="Q29" s="2"/>
      <c r="R29" s="2"/>
    </row>
    <row r="30" ht="16.5" spans="1:18">
      <c r="A30" s="2" t="s">
        <v>22</v>
      </c>
      <c r="B30" s="2">
        <v>2026</v>
      </c>
      <c r="C30" s="2">
        <v>35</v>
      </c>
      <c r="D30" s="2"/>
      <c r="E30" s="2"/>
      <c r="F30" s="2">
        <v>11.21</v>
      </c>
      <c r="G30" s="2"/>
      <c r="H30" s="2"/>
      <c r="I30" s="4">
        <v>0.156</v>
      </c>
      <c r="J30" s="2">
        <v>40</v>
      </c>
      <c r="K30" s="2">
        <v>6</v>
      </c>
      <c r="L30" s="2"/>
      <c r="M30" s="2"/>
      <c r="N30" s="2">
        <v>1</v>
      </c>
      <c r="O30" s="2">
        <v>0</v>
      </c>
      <c r="P30" s="2"/>
      <c r="Q30" s="2"/>
      <c r="R30" s="2"/>
    </row>
    <row r="31" ht="16.5" spans="1:18">
      <c r="A31" s="2" t="s">
        <v>22</v>
      </c>
      <c r="B31" s="2">
        <v>2026</v>
      </c>
      <c r="C31" s="2">
        <v>36</v>
      </c>
      <c r="D31" s="2"/>
      <c r="E31" s="2"/>
      <c r="F31" s="2">
        <v>12</v>
      </c>
      <c r="G31" s="2"/>
      <c r="H31" s="2"/>
      <c r="I31" s="4">
        <v>0.216</v>
      </c>
      <c r="J31" s="2">
        <v>72</v>
      </c>
      <c r="K31" s="2">
        <v>8</v>
      </c>
      <c r="L31" s="2"/>
      <c r="M31" s="2"/>
      <c r="N31" s="2">
        <v>0</v>
      </c>
      <c r="O31" s="2">
        <v>0</v>
      </c>
      <c r="P31" s="2"/>
      <c r="Q31" s="2"/>
      <c r="R31" s="2"/>
    </row>
    <row r="32" ht="16.5" spans="1:18">
      <c r="A32" s="2" t="s">
        <v>22</v>
      </c>
      <c r="B32" s="2">
        <v>2026</v>
      </c>
      <c r="C32" s="2">
        <v>37</v>
      </c>
      <c r="D32" s="2"/>
      <c r="E32" s="2"/>
      <c r="F32" s="2">
        <v>11.84</v>
      </c>
      <c r="G32" s="2"/>
      <c r="H32" s="2"/>
      <c r="I32" s="4">
        <v>0.233</v>
      </c>
      <c r="J32" s="2">
        <v>63</v>
      </c>
      <c r="K32" s="2">
        <v>1</v>
      </c>
      <c r="L32" s="2"/>
      <c r="M32" s="2"/>
      <c r="N32" s="2">
        <v>3</v>
      </c>
      <c r="O32" s="2">
        <v>2</v>
      </c>
      <c r="P32" s="2"/>
      <c r="Q32" s="2"/>
      <c r="R32" s="2"/>
    </row>
    <row r="33" ht="16.5" spans="1:18">
      <c r="A33" s="2" t="s">
        <v>22</v>
      </c>
      <c r="B33" s="2">
        <v>2026</v>
      </c>
      <c r="C33" s="2">
        <v>38</v>
      </c>
      <c r="D33" s="2"/>
      <c r="E33" s="2"/>
      <c r="F33" s="2">
        <v>12.24</v>
      </c>
      <c r="G33" s="2"/>
      <c r="H33" s="2"/>
      <c r="I33" s="4">
        <v>0.239</v>
      </c>
      <c r="J33" s="2">
        <v>58</v>
      </c>
      <c r="K33" s="2">
        <v>2</v>
      </c>
      <c r="L33" s="2"/>
      <c r="M33" s="2"/>
      <c r="N33" s="2">
        <v>1</v>
      </c>
      <c r="O33" s="2">
        <v>0</v>
      </c>
      <c r="P33" s="2"/>
      <c r="Q33" s="2"/>
      <c r="R33" s="2"/>
    </row>
    <row r="34" ht="16.5" spans="1:18">
      <c r="A34" s="2" t="s">
        <v>22</v>
      </c>
      <c r="B34" s="2">
        <v>2026</v>
      </c>
      <c r="C34" s="2">
        <v>39</v>
      </c>
      <c r="D34" s="3"/>
      <c r="E34" s="3"/>
      <c r="F34" s="20">
        <v>12.12</v>
      </c>
      <c r="G34" s="2"/>
      <c r="H34" s="2"/>
      <c r="I34" s="21">
        <v>0.259</v>
      </c>
      <c r="J34" s="22">
        <v>52</v>
      </c>
      <c r="K34" s="22">
        <v>2</v>
      </c>
      <c r="L34" s="2"/>
      <c r="M34" s="2"/>
      <c r="N34" s="22">
        <v>2</v>
      </c>
      <c r="O34" s="22">
        <v>1</v>
      </c>
      <c r="P34" s="2"/>
      <c r="Q34" s="2"/>
      <c r="R34" s="2"/>
    </row>
    <row r="35" ht="16.5" spans="1:18">
      <c r="A35" s="2" t="s">
        <v>23</v>
      </c>
      <c r="B35" s="2">
        <v>2026</v>
      </c>
      <c r="C35" s="2">
        <v>35</v>
      </c>
      <c r="D35" s="3">
        <v>46257</v>
      </c>
      <c r="E35" s="3">
        <v>46263</v>
      </c>
      <c r="F35" s="2">
        <v>1.33</v>
      </c>
      <c r="G35" s="2"/>
      <c r="H35" s="2"/>
      <c r="I35" s="4">
        <v>0.123</v>
      </c>
      <c r="J35" s="2">
        <v>12.3</v>
      </c>
      <c r="K35" s="2"/>
      <c r="L35" s="2"/>
      <c r="M35" s="2"/>
      <c r="N35" s="2"/>
      <c r="O35" s="2"/>
      <c r="P35" s="2"/>
      <c r="Q35" s="2"/>
      <c r="R35" s="2"/>
    </row>
    <row r="36" ht="16.5" spans="1:18">
      <c r="A36" s="2" t="s">
        <v>23</v>
      </c>
      <c r="B36" s="2">
        <v>2026</v>
      </c>
      <c r="C36" s="2">
        <v>36</v>
      </c>
      <c r="D36" s="3">
        <v>46264</v>
      </c>
      <c r="E36" s="3">
        <v>46270</v>
      </c>
      <c r="F36" s="2">
        <v>2.53</v>
      </c>
      <c r="G36" s="2"/>
      <c r="H36" s="2"/>
      <c r="I36" s="4">
        <v>0.163</v>
      </c>
      <c r="J36" s="2">
        <v>15.9</v>
      </c>
      <c r="K36" s="2">
        <v>0.2</v>
      </c>
      <c r="L36" s="2"/>
      <c r="M36" s="2"/>
      <c r="N36" s="2"/>
      <c r="O36" s="2"/>
      <c r="P36" s="2"/>
      <c r="Q36" s="2"/>
      <c r="R36" s="2"/>
    </row>
    <row r="37" ht="16.5" spans="1:18">
      <c r="A37" s="2" t="s">
        <v>23</v>
      </c>
      <c r="B37" s="2">
        <v>2026</v>
      </c>
      <c r="C37" s="2">
        <v>37</v>
      </c>
      <c r="D37" s="3">
        <v>46271</v>
      </c>
      <c r="E37" s="3">
        <v>46277</v>
      </c>
      <c r="F37" s="2">
        <v>3.1</v>
      </c>
      <c r="G37" s="2"/>
      <c r="H37" s="2"/>
      <c r="I37" s="4">
        <v>0.246</v>
      </c>
      <c r="J37" s="2">
        <v>24.2</v>
      </c>
      <c r="K37" s="2">
        <v>0.2</v>
      </c>
      <c r="L37" s="2"/>
      <c r="M37" s="2"/>
      <c r="N37" s="2"/>
      <c r="O37" s="2"/>
      <c r="P37" s="2"/>
      <c r="Q37" s="2"/>
      <c r="R37" s="2"/>
    </row>
    <row r="38" ht="16.5" spans="1:18">
      <c r="A38" s="2" t="s">
        <v>23</v>
      </c>
      <c r="B38" s="2">
        <v>2026</v>
      </c>
      <c r="C38" s="2">
        <v>38</v>
      </c>
      <c r="D38" s="3">
        <v>46278</v>
      </c>
      <c r="E38" s="3">
        <v>46284</v>
      </c>
      <c r="F38" s="2">
        <v>3.23</v>
      </c>
      <c r="G38" s="2"/>
      <c r="H38" s="2"/>
      <c r="I38" s="4">
        <v>0.207</v>
      </c>
      <c r="J38" s="2">
        <v>20.7</v>
      </c>
      <c r="K38" s="2"/>
      <c r="L38" s="2"/>
      <c r="M38" s="2"/>
      <c r="N38" s="2"/>
      <c r="O38" s="2"/>
      <c r="P38" s="2"/>
      <c r="Q38" s="2"/>
      <c r="R38" s="2"/>
    </row>
    <row r="39" ht="16.5" spans="1:18">
      <c r="A39" s="2" t="s">
        <v>23</v>
      </c>
      <c r="B39" s="2">
        <v>2026</v>
      </c>
      <c r="C39" s="2">
        <v>39</v>
      </c>
      <c r="D39" s="3">
        <v>46285</v>
      </c>
      <c r="E39" s="3">
        <v>46291</v>
      </c>
      <c r="F39" s="2">
        <v>3.3</v>
      </c>
      <c r="G39" s="2"/>
      <c r="H39" s="2"/>
      <c r="I39" s="4">
        <v>0.263</v>
      </c>
      <c r="J39" s="2">
        <v>26.1</v>
      </c>
      <c r="K39" s="2">
        <v>0.3</v>
      </c>
      <c r="L39" s="2"/>
      <c r="M39" s="2"/>
      <c r="N39" s="2"/>
      <c r="O39" s="2"/>
      <c r="P39" s="2"/>
      <c r="Q39" s="2"/>
      <c r="R39" s="2"/>
    </row>
    <row r="40" ht="16.5" spans="1:18">
      <c r="A40" s="2" t="s">
        <v>23</v>
      </c>
      <c r="B40" s="2">
        <v>2026</v>
      </c>
      <c r="C40" s="2">
        <v>40</v>
      </c>
      <c r="D40" s="3">
        <v>46292</v>
      </c>
      <c r="E40" s="3">
        <v>46298</v>
      </c>
      <c r="F40" s="2">
        <v>2.36</v>
      </c>
      <c r="G40" s="2"/>
      <c r="H40" s="2"/>
      <c r="I40" s="4">
        <v>0.28</v>
      </c>
      <c r="J40" s="2">
        <v>27.8</v>
      </c>
      <c r="K40" s="2">
        <v>0.3</v>
      </c>
      <c r="L40" s="2"/>
      <c r="M40" s="2"/>
      <c r="N40" s="2"/>
      <c r="O40" s="2"/>
      <c r="P40" s="2"/>
      <c r="Q40" s="2"/>
      <c r="R40" s="2"/>
    </row>
    <row r="41" ht="16.5" spans="1:18">
      <c r="A41" s="2" t="s">
        <v>23</v>
      </c>
      <c r="B41" s="2">
        <v>2026</v>
      </c>
      <c r="C41" s="23">
        <v>41</v>
      </c>
      <c r="D41" s="24">
        <v>46299</v>
      </c>
      <c r="E41" s="24">
        <v>46305</v>
      </c>
      <c r="F41" s="25">
        <v>2.16</v>
      </c>
      <c r="G41" s="2"/>
      <c r="H41" s="2"/>
      <c r="I41" s="26">
        <v>0.252</v>
      </c>
      <c r="J41" s="27">
        <v>25.2</v>
      </c>
      <c r="K41" s="2"/>
      <c r="L41" s="2"/>
      <c r="M41" s="2"/>
      <c r="N41" s="2"/>
      <c r="O41" s="2"/>
      <c r="P41" s="2"/>
      <c r="Q41" s="2"/>
      <c r="R41" s="2"/>
    </row>
    <row r="42" ht="16.5" spans="1:18">
      <c r="A42" s="2" t="s">
        <v>24</v>
      </c>
      <c r="B42" s="2">
        <v>2026</v>
      </c>
      <c r="C42" s="2">
        <v>35</v>
      </c>
      <c r="D42" s="3">
        <v>46258</v>
      </c>
      <c r="E42" s="3">
        <v>46264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>
        <v>6543</v>
      </c>
      <c r="R42" s="2">
        <v>1.76</v>
      </c>
    </row>
    <row r="43" ht="16.5" spans="1:18">
      <c r="A43" s="2" t="s">
        <v>24</v>
      </c>
      <c r="B43" s="2">
        <v>2026</v>
      </c>
      <c r="C43" s="2">
        <v>36</v>
      </c>
      <c r="D43" s="3">
        <v>46265</v>
      </c>
      <c r="E43" s="3">
        <v>46271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>
        <v>12299</v>
      </c>
      <c r="R43" s="2">
        <v>3.29</v>
      </c>
    </row>
    <row r="44" ht="16.5" spans="1:18">
      <c r="A44" s="2" t="s">
        <v>24</v>
      </c>
      <c r="B44" s="2">
        <v>2026</v>
      </c>
      <c r="C44" s="2">
        <v>37</v>
      </c>
      <c r="D44" s="3">
        <v>46272</v>
      </c>
      <c r="E44" s="3">
        <v>46278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>
        <v>20697</v>
      </c>
      <c r="R44" s="2">
        <v>5.54</v>
      </c>
    </row>
    <row r="45" ht="16.5" spans="1:18">
      <c r="A45" s="2" t="s">
        <v>24</v>
      </c>
      <c r="B45" s="2">
        <v>2026</v>
      </c>
      <c r="C45" s="2">
        <v>38</v>
      </c>
      <c r="D45" s="3">
        <v>46279</v>
      </c>
      <c r="E45" s="3">
        <v>46285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>
        <v>31428</v>
      </c>
      <c r="R45" s="2">
        <v>8.48</v>
      </c>
    </row>
    <row r="46" ht="16.5" spans="1:18">
      <c r="A46" s="2" t="s">
        <v>24</v>
      </c>
      <c r="B46" s="2">
        <v>2026</v>
      </c>
      <c r="C46" s="2">
        <v>39</v>
      </c>
      <c r="D46" s="3">
        <v>46286</v>
      </c>
      <c r="E46" s="3">
        <v>46292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>
        <v>26678</v>
      </c>
      <c r="R46" s="2">
        <v>7.17</v>
      </c>
    </row>
    <row r="47" ht="16.5" spans="1:18">
      <c r="A47" s="2" t="s">
        <v>24</v>
      </c>
      <c r="B47" s="2">
        <v>2026</v>
      </c>
      <c r="C47" s="2">
        <v>40</v>
      </c>
      <c r="D47" s="28">
        <v>46293</v>
      </c>
      <c r="E47" s="28">
        <v>46299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0">
        <v>42320</v>
      </c>
      <c r="R47" s="31">
        <v>11.35</v>
      </c>
    </row>
    <row r="48" ht="16.5" spans="1:18">
      <c r="A48" s="2" t="s">
        <v>24</v>
      </c>
      <c r="B48" s="2">
        <v>2026</v>
      </c>
      <c r="C48" s="2">
        <v>41</v>
      </c>
      <c r="D48" s="32">
        <v>46300</v>
      </c>
      <c r="E48" s="32">
        <v>46306</v>
      </c>
      <c r="Q48" s="33">
        <v>47746</v>
      </c>
      <c r="R48" s="8">
        <v>12.81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2026-10-09T08:18:00Z</dcterms:created>
  <dcterms:modified xsi:type="dcterms:W3CDTF">2026-10-16T08:13:36Z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53408EE7A2B141FEBA55DF60B8FEA4E2_13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